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F2A2AE49-9035-4B6B-8AF1-BCB35CE0F1D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efect Report" sheetId="1" r:id="rId1"/>
    <sheet name="Defect Summary" sheetId="2" r:id="rId2"/>
  </sheets>
  <definedNames>
    <definedName name="_xlnm._FilterDatabase" localSheetId="0" hidden="1">'Defect Report'!$A$3:$N$8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B7" i="2"/>
  <c r="B6" i="2"/>
  <c r="B3" i="2"/>
</calcChain>
</file>

<file path=xl/sharedStrings.xml><?xml version="1.0" encoding="utf-8"?>
<sst xmlns="http://schemas.openxmlformats.org/spreadsheetml/2006/main" count="87" uniqueCount="73">
  <si>
    <t>DEFECT REPORT - E-COMMERCE WEB APPLICATION (SAUCEDEMO)</t>
  </si>
  <si>
    <t>Defect ID</t>
  </si>
  <si>
    <t>Test Case ID</t>
  </si>
  <si>
    <t>Module</t>
  </si>
  <si>
    <t>Defect Summary</t>
  </si>
  <si>
    <t>Steps to Reproduce</t>
  </si>
  <si>
    <t>Expected Result</t>
  </si>
  <si>
    <t>Actual Result</t>
  </si>
  <si>
    <t>Severity</t>
  </si>
  <si>
    <t>Priority</t>
  </si>
  <si>
    <t>Status</t>
  </si>
  <si>
    <t>Environment / Test Data</t>
  </si>
  <si>
    <t>Reported By</t>
  </si>
  <si>
    <t>Date Reported</t>
  </si>
  <si>
    <t>Screenshot Reference</t>
  </si>
  <si>
    <t>DEF-001</t>
  </si>
  <si>
    <t>TC_PLP_006</t>
  </si>
  <si>
    <t>Product Listing</t>
  </si>
  <si>
    <t>Product images identical/incorrect for problem_user</t>
  </si>
  <si>
    <t>1. Login as problem_user
2. View Products page</t>
  </si>
  <si>
    <t>Each product displays its own correct image</t>
  </si>
  <si>
    <t>All 6 products display the same incorrect (dog) image</t>
  </si>
  <si>
    <t>Medium</t>
  </si>
  <si>
    <t>P2</t>
  </si>
  <si>
    <t>Open</t>
  </si>
  <si>
    <t>problem_user / secret_sauce</t>
  </si>
  <si>
    <t>Subham</t>
  </si>
  <si>
    <t>Screenshots/DEF-001_problem_user_images.png</t>
  </si>
  <si>
    <t>DEF-002</t>
  </si>
  <si>
    <t>TC_E2E_003</t>
  </si>
  <si>
    <t>Performance</t>
  </si>
  <si>
    <t>Noticeable page-load delay after login for performance_glitch_user</t>
  </si>
  <si>
    <t>1. Login as performance_glitch_user
2. Observe time to load Products page</t>
  </si>
  <si>
    <t>Page should load within an acceptable time (~1-2 seconds)</t>
  </si>
  <si>
    <t>Products page took approximately 5+ seconds to render after login</t>
  </si>
  <si>
    <t>Low</t>
  </si>
  <si>
    <t>P3</t>
  </si>
  <si>
    <t>Open (By Design - Demo Data)</t>
  </si>
  <si>
    <t>performance_glitch_user / secret_sauce</t>
  </si>
  <si>
    <t>Screenshots/DEF-002_performance_glitch.png</t>
  </si>
  <si>
    <t>DEF-003</t>
  </si>
  <si>
    <t>TC_CHECKOUT_005</t>
  </si>
  <si>
    <t>Checkout</t>
  </si>
  <si>
    <t>Zip/Postal Code field lacks input format validation</t>
  </si>
  <si>
    <t>1. Go to Checkout: Your Information page
2. Enter First/Last Name
3. Enter '@' as Zip Code
4. Click 'Continue'</t>
  </si>
  <si>
    <t>Non-numeric/special-character input should be rejected with a validation message</t>
  </si>
  <si>
    <t>Field accepted the special character with no validation and allowed checkout to proceed</t>
  </si>
  <si>
    <t>P4</t>
  </si>
  <si>
    <t>Open (Won't Fix - Demo App Limitation)</t>
  </si>
  <si>
    <t>standard_user / secret_sauce</t>
  </si>
  <si>
    <t>Screenshots/DEF-005_zip_validation.png</t>
  </si>
  <si>
    <t>DEF-004</t>
  </si>
  <si>
    <t>TC_CART_003</t>
  </si>
  <si>
    <t>Cart</t>
  </si>
  <si>
    <t>'Remove' button on Cart page unreliable for error_user</t>
  </si>
  <si>
    <t>1. Login as error_user
2. Add a product to cart
3. Go to Cart page
4. Click 'Remove'</t>
  </si>
  <si>
    <t>Item is removed from the cart and badge count decrements.</t>
  </si>
  <si>
    <t>Item removal was inconsistent; badge count did not reliably update</t>
  </si>
  <si>
    <t>High</t>
  </si>
  <si>
    <t>error_user / secret_sauce</t>
  </si>
  <si>
    <t>Screenshots/DEF-003_error_user_cart.png</t>
  </si>
  <si>
    <t>DEF-005</t>
  </si>
  <si>
    <t>TC_MISC_004</t>
  </si>
  <si>
    <t>Product Listing (UI)</t>
  </si>
  <si>
    <t>Product images inconsistently sized/aligned for visual_user</t>
  </si>
  <si>
    <t>1. Login as visual_user
2. Observe product image sizing on Products page</t>
  </si>
  <si>
    <t>Product images render at a consistent size and alignment</t>
  </si>
  <si>
    <t>Product images appeared misaligned / inconsistently sized versus standard_user view</t>
  </si>
  <si>
    <t>visual_user / secret_sauce</t>
  </si>
  <si>
    <t>Screenshots/DEF-004_visual_user_ui.png</t>
  </si>
  <si>
    <t>DEFECT SUMMARY</t>
  </si>
  <si>
    <t>Total Defects Logged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</si>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</sst>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sz val="1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5" fillId="0" borderId="0" xfId="0" applyFont="1" applyAlignment="1">
      <alignment vertical="top" wrapText="1"/>
    </xf>
    <xf numFmtId="0" fontId="1" fillId="2" borderId="0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showGridLines="0" tabSelected="1" zoomScaleNormal="100" workbookViewId="0">
      <pane xSplit="3" ySplit="3" topLeftCell="G8" activePane="bottomRight" state="frozen"/>
      <selection pane="bottomRight" activeCell="M4" sqref="M4:M8"/>
      <selection pane="bottomLeft" activeCell="A4" sqref="A4"/>
      <selection pane="topRight" activeCell="D1" sqref="D1"/>
    </sheetView>
  </sheetViews>
  <sheetFormatPr defaultColWidth="8.7109375" defaultRowHeight="15"/>
  <cols>
    <col min="1" max="1" width="10" customWidth="1"/>
    <col min="2" max="2" width="14" customWidth="1"/>
    <col min="3" max="3" width="16" customWidth="1"/>
    <col min="4" max="4" width="26" customWidth="1"/>
    <col min="5" max="5" width="30" customWidth="1"/>
    <col min="6" max="6" width="26" customWidth="1"/>
    <col min="7" max="7" width="30" customWidth="1"/>
    <col min="8" max="8" width="10" customWidth="1"/>
    <col min="9" max="9" width="8" customWidth="1"/>
    <col min="10" max="11" width="22" customWidth="1"/>
    <col min="12" max="12" width="11" customWidth="1"/>
    <col min="13" max="13" width="13" customWidth="1"/>
    <col min="14" max="14" width="30" customWidth="1"/>
  </cols>
  <sheetData>
    <row r="1" spans="1:14" ht="30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6" customHeight="1"/>
    <row r="3" spans="1:14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57.75" customHeight="1">
      <c r="A4" s="2" t="s">
        <v>15</v>
      </c>
      <c r="B4" s="2" t="s">
        <v>16</v>
      </c>
      <c r="C4" s="2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4" t="s">
        <v>22</v>
      </c>
      <c r="I4" s="2" t="s">
        <v>23</v>
      </c>
      <c r="J4" s="2" t="s">
        <v>24</v>
      </c>
      <c r="K4" s="3" t="s">
        <v>25</v>
      </c>
      <c r="L4" s="2" t="s">
        <v>26</v>
      </c>
      <c r="M4" s="12">
        <v>46280</v>
      </c>
      <c r="N4" s="3" t="s">
        <v>27</v>
      </c>
    </row>
    <row r="5" spans="1:14" ht="57.75" customHeight="1">
      <c r="A5" s="2" t="s">
        <v>28</v>
      </c>
      <c r="B5" s="2" t="s">
        <v>29</v>
      </c>
      <c r="C5" s="2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5" t="s">
        <v>35</v>
      </c>
      <c r="I5" s="2" t="s">
        <v>36</v>
      </c>
      <c r="J5" s="2" t="s">
        <v>37</v>
      </c>
      <c r="K5" s="3" t="s">
        <v>38</v>
      </c>
      <c r="L5" s="2" t="s">
        <v>26</v>
      </c>
      <c r="M5" s="12">
        <v>46280</v>
      </c>
      <c r="N5" s="3" t="s">
        <v>39</v>
      </c>
    </row>
    <row r="6" spans="1:14" ht="57.75" customHeight="1">
      <c r="A6" s="2" t="s">
        <v>40</v>
      </c>
      <c r="B6" s="2" t="s">
        <v>41</v>
      </c>
      <c r="C6" s="2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5" t="s">
        <v>35</v>
      </c>
      <c r="I6" s="2" t="s">
        <v>47</v>
      </c>
      <c r="J6" s="2" t="s">
        <v>48</v>
      </c>
      <c r="K6" s="3" t="s">
        <v>49</v>
      </c>
      <c r="L6" s="2" t="s">
        <v>26</v>
      </c>
      <c r="M6" s="12">
        <v>46280</v>
      </c>
      <c r="N6" s="3" t="s">
        <v>50</v>
      </c>
    </row>
    <row r="7" spans="1:14" ht="57.75" customHeight="1">
      <c r="A7" s="2" t="s">
        <v>51</v>
      </c>
      <c r="B7" s="2" t="s">
        <v>52</v>
      </c>
      <c r="C7" s="2" t="s">
        <v>53</v>
      </c>
      <c r="D7" s="3" t="s">
        <v>54</v>
      </c>
      <c r="E7" s="3" t="s">
        <v>55</v>
      </c>
      <c r="F7" s="10" t="s">
        <v>56</v>
      </c>
      <c r="G7" s="3" t="s">
        <v>57</v>
      </c>
      <c r="H7" s="6" t="s">
        <v>58</v>
      </c>
      <c r="I7" s="2" t="s">
        <v>23</v>
      </c>
      <c r="J7" s="2" t="s">
        <v>24</v>
      </c>
      <c r="K7" s="3" t="s">
        <v>59</v>
      </c>
      <c r="L7" s="2" t="s">
        <v>26</v>
      </c>
      <c r="M7" s="12">
        <v>46280</v>
      </c>
      <c r="N7" s="3" t="s">
        <v>60</v>
      </c>
    </row>
    <row r="8" spans="1:14" ht="57.75" customHeight="1">
      <c r="A8" s="2" t="s">
        <v>61</v>
      </c>
      <c r="B8" s="2" t="s">
        <v>62</v>
      </c>
      <c r="C8" s="2" t="s">
        <v>63</v>
      </c>
      <c r="D8" s="3" t="s">
        <v>64</v>
      </c>
      <c r="E8" s="3" t="s">
        <v>65</v>
      </c>
      <c r="F8" s="3" t="s">
        <v>66</v>
      </c>
      <c r="G8" s="3" t="s">
        <v>67</v>
      </c>
      <c r="H8" s="4" t="s">
        <v>22</v>
      </c>
      <c r="I8" s="2" t="s">
        <v>36</v>
      </c>
      <c r="J8" s="2" t="s">
        <v>24</v>
      </c>
      <c r="K8" s="3" t="s">
        <v>68</v>
      </c>
      <c r="L8" s="2" t="s">
        <v>26</v>
      </c>
      <c r="M8" s="12">
        <v>46280</v>
      </c>
      <c r="N8" s="3" t="s">
        <v>69</v>
      </c>
    </row>
  </sheetData>
  <autoFilter ref="A3:N8" xr:uid="{00000000-0009-0000-0000-000000000000}"/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zoomScaleNormal="100" workbookViewId="0"/>
  </sheetViews>
  <sheetFormatPr defaultColWidth="8.7109375" defaultRowHeight="15"/>
  <cols>
    <col min="1" max="1" width="22" customWidth="1"/>
    <col min="2" max="2" width="12" customWidth="1"/>
  </cols>
  <sheetData>
    <row r="1" spans="1:2" ht="30" customHeight="1">
      <c r="A1" s="11" t="s">
        <v>70</v>
      </c>
      <c r="B1" s="11"/>
    </row>
    <row r="3" spans="1:2">
      <c r="A3" s="7" t="s">
        <v>71</v>
      </c>
      <c r="B3" s="8">
        <f>COUNTA('Defect Report'!A4:A8)</f>
        <v>5</v>
      </c>
    </row>
    <row r="5" spans="1:2">
      <c r="A5" s="9" t="s">
        <v>8</v>
      </c>
      <c r="B5" s="9" t="s">
        <v>72</v>
      </c>
    </row>
    <row r="6" spans="1:2">
      <c r="A6" s="8" t="s">
        <v>58</v>
      </c>
      <c r="B6" s="8">
        <f>COUNTIF('Defect Report'!H4:H8,"High")</f>
        <v>1</v>
      </c>
    </row>
    <row r="7" spans="1:2">
      <c r="A7" s="8" t="s">
        <v>22</v>
      </c>
      <c r="B7" s="8">
        <f>COUNTIF('Defect Report'!H4:H8,"Medium")</f>
        <v>2</v>
      </c>
    </row>
    <row r="8" spans="1:2">
      <c r="A8" s="8" t="s">
        <v>35</v>
      </c>
      <c r="B8" s="8">
        <f>COUNTIF('Defect Report'!H4:H8,"Low")</f>
        <v>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2026-09-10T19:08:46Z</dcterms:created>
  <dcterms:modified xsi:type="dcterms:W3CDTF">2026-09-15T19:21:46Z</dcterms:modified>
  <cp:category/>
  <cp:contentStatus/>
</cp:coreProperties>
</file>