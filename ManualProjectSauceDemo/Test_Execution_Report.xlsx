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0" documentId="8_{514D5686-492A-4B53-A44A-2D4CE517A0A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Execution Log" sheetId="1" r:id="rId1"/>
    <sheet name="Execution Summary" sheetId="2" r:id="rId2"/>
  </sheets>
  <definedNames>
    <definedName name="_xlnm._FilterDatabase" localSheetId="0" hidden="1">'Execution Log'!$A$3:$F$48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2" l="1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B14" i="2"/>
  <c r="B11" i="2"/>
  <c r="B10" i="2"/>
  <c r="B9" i="2"/>
  <c r="B12" i="2" s="1"/>
  <c r="B13" i="2" l="1"/>
</calcChain>
</file>

<file path=xl/sharedStrings.xml><?xml version="1.0" encoding="utf-8"?>
<sst xmlns="http://schemas.openxmlformats.org/spreadsheetml/2006/main" count="221" uniqueCount="87">
  <si>
    <t>TEST EXECUTION LOG</t>
  </si>
  <si>
    <t>Test Case ID</t>
  </si>
  <si>
    <t>Module</t>
  </si>
  <si>
    <t>Priority</t>
  </si>
  <si>
    <t>Status</t>
  </si>
  <si>
    <t>Defect ID</t>
  </si>
  <si>
    <t>Execution Date</t>
  </si>
  <si>
    <t>TC_LOGIN_001</t>
  </si>
  <si>
    <t>Login</t>
  </si>
  <si>
    <t>High</t>
  </si>
  <si>
    <t>Pass</t>
  </si>
  <si>
    <t>TC_LOGIN_002</t>
  </si>
  <si>
    <t>TC_LOGIN_003</t>
  </si>
  <si>
    <t>TC_LOGIN_004</t>
  </si>
  <si>
    <t>TC_LOGIN_005</t>
  </si>
  <si>
    <t>TC_LOGIN_006</t>
  </si>
  <si>
    <t>Low</t>
  </si>
  <si>
    <t>TC_PLP_001</t>
  </si>
  <si>
    <t>Product Listing</t>
  </si>
  <si>
    <t>TC_PLP_002</t>
  </si>
  <si>
    <t>Medium</t>
  </si>
  <si>
    <t>TC_PLP_003</t>
  </si>
  <si>
    <t>TC_PLP_004</t>
  </si>
  <si>
    <t>TC_PLP_005</t>
  </si>
  <si>
    <t>TC_PLP_006</t>
  </si>
  <si>
    <t>Fail</t>
  </si>
  <si>
    <t>DEF-001</t>
  </si>
  <si>
    <t>TC_PDP_001</t>
  </si>
  <si>
    <t>Product Details</t>
  </si>
  <si>
    <t>TC_PDP_002</t>
  </si>
  <si>
    <t>TC_PDP_003</t>
  </si>
  <si>
    <t>TC_PDP_004</t>
  </si>
  <si>
    <t>TC_SORT_001</t>
  </si>
  <si>
    <t>Sorting</t>
  </si>
  <si>
    <t>TC_SORT_002</t>
  </si>
  <si>
    <t>TC_SORT_003</t>
  </si>
  <si>
    <t>TC_SORT_004</t>
  </si>
  <si>
    <t>TC_SORT_005</t>
  </si>
  <si>
    <t>TC_CART_001</t>
  </si>
  <si>
    <t>Cart</t>
  </si>
  <si>
    <t>TC_CART_002</t>
  </si>
  <si>
    <t>TC_CART_003</t>
  </si>
  <si>
    <t>DEF-004</t>
  </si>
  <si>
    <t>TC_CART_004</t>
  </si>
  <si>
    <t>TC_CART_005</t>
  </si>
  <si>
    <t>TC_CART_006</t>
  </si>
  <si>
    <t>TC_CHECKOUT_001</t>
  </si>
  <si>
    <t>Checkout</t>
  </si>
  <si>
    <t>TC_CHECKOUT_002</t>
  </si>
  <si>
    <t>TC_CHECKOUT_003</t>
  </si>
  <si>
    <t>TC_CHECKOUT_004</t>
  </si>
  <si>
    <t>TC_CHECKOUT_005</t>
  </si>
  <si>
    <t>TC_CHECKOUT_006</t>
  </si>
  <si>
    <t>TC_CHECKOUT_007</t>
  </si>
  <si>
    <t>TC_CHECKOUT_008</t>
  </si>
  <si>
    <t>TC_ORDER_001</t>
  </si>
  <si>
    <t>Order Confirmation</t>
  </si>
  <si>
    <t>TC_ORDER_002</t>
  </si>
  <si>
    <t>TC_ORDER_003</t>
  </si>
  <si>
    <t>TC_E2E_001</t>
  </si>
  <si>
    <t>End-to-End</t>
  </si>
  <si>
    <t>TC_E2E_002</t>
  </si>
  <si>
    <t>TC_E2E_003</t>
  </si>
  <si>
    <t>DEF-003</t>
  </si>
  <si>
    <t>TC_MISC_001</t>
  </si>
  <si>
    <t>Session/Logout</t>
  </si>
  <si>
    <t>TC_MISC_002</t>
  </si>
  <si>
    <t>TC_MISC_003</t>
  </si>
  <si>
    <t>TC_MISC_004</t>
  </si>
  <si>
    <t>DEF-005</t>
  </si>
  <si>
    <t>TEST EXECUTION REPORT - E-COMMERCE WEB APPLICATION (SAUCEDEMO)</t>
  </si>
  <si>
    <t>Cycle</t>
  </si>
  <si>
    <t>Cycle 1 - Manual Test Execution</t>
  </si>
  <si>
    <t>Application</t>
  </si>
  <si>
    <t>SauceDemo (https://www.saucedemo.com)</t>
  </si>
  <si>
    <t>Executed By</t>
  </si>
  <si>
    <t>Subham (QA Engineer)</t>
  </si>
  <si>
    <t>11-Sep-2026</t>
  </si>
  <si>
    <t>OVERALL RESULTS</t>
  </si>
  <si>
    <t>Total Test Cases</t>
  </si>
  <si>
    <t>Passed</t>
  </si>
  <si>
    <t>Failed</t>
  </si>
  <si>
    <t>Blocked / Not Executed</t>
  </si>
  <si>
    <t>Pass %</t>
  </si>
  <si>
    <t>Defects Logged (see Defect_Report.xlsx)</t>
  </si>
  <si>
    <t>MODULE-WISE BREAKDOWN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</si>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</sst>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14"/>
      <color rgb="FFFFFFFF"/>
      <name val="Calibri"/>
      <charset val="1"/>
    </font>
    <font>
      <b/>
      <sz val="11"/>
      <color rgb="FF1F3864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D9D9"/>
      </patternFill>
    </fill>
    <fill>
      <patternFill patternType="solid">
        <fgColor rgb="FFD9E2F3"/>
        <b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/>
    <xf numFmtId="0" fontId="3" fillId="0" borderId="1" xfId="0" applyFont="1" applyBorder="1"/>
    <xf numFmtId="164" fontId="4" fillId="0" borderId="1" xfId="0" applyNumberFormat="1" applyFont="1" applyBorder="1"/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vertical="top" wrapText="1"/>
    </xf>
    <xf numFmtId="0" fontId="1" fillId="2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center" vertical="center"/>
    </xf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Module-wise Pass / Fail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'Execution Summary'!C17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'Execution Summary'!$A$18:$A$26</c:f>
              <c:strCache>
                <c:ptCount val="9"/>
                <c:pt idx="0">
                  <c:v>Login</c:v>
                </c:pt>
                <c:pt idx="1">
                  <c:v>Product Listing</c:v>
                </c:pt>
                <c:pt idx="2">
                  <c:v>Product Details</c:v>
                </c:pt>
                <c:pt idx="3">
                  <c:v>Sorting</c:v>
                </c:pt>
                <c:pt idx="4">
                  <c:v>Cart</c:v>
                </c:pt>
                <c:pt idx="5">
                  <c:v>Checkout</c:v>
                </c:pt>
                <c:pt idx="6">
                  <c:v>Order Confirmation</c:v>
                </c:pt>
                <c:pt idx="7">
                  <c:v>End-to-End</c:v>
                </c:pt>
                <c:pt idx="8">
                  <c:v>Session/Logout</c:v>
                </c:pt>
              </c:strCache>
            </c:strRef>
          </c:cat>
          <c:val>
            <c:numRef>
              <c:f>'Execution Summary'!$C$18:$C$26</c:f>
              <c:numCache>
                <c:formatCode>General</c:formatCode>
                <c:ptCount val="9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0-41A5-AA3B-67FE50FC8792}"/>
            </c:ext>
          </c:extLst>
        </c:ser>
        <c:ser>
          <c:idx val="1"/>
          <c:order val="1"/>
          <c:tx>
            <c:strRef>
              <c:f>'Execution Summary'!D17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'Execution Summary'!$A$18:$A$26</c:f>
              <c:strCache>
                <c:ptCount val="9"/>
                <c:pt idx="0">
                  <c:v>Login</c:v>
                </c:pt>
                <c:pt idx="1">
                  <c:v>Product Listing</c:v>
                </c:pt>
                <c:pt idx="2">
                  <c:v>Product Details</c:v>
                </c:pt>
                <c:pt idx="3">
                  <c:v>Sorting</c:v>
                </c:pt>
                <c:pt idx="4">
                  <c:v>Cart</c:v>
                </c:pt>
                <c:pt idx="5">
                  <c:v>Checkout</c:v>
                </c:pt>
                <c:pt idx="6">
                  <c:v>Order Confirmation</c:v>
                </c:pt>
                <c:pt idx="7">
                  <c:v>End-to-End</c:v>
                </c:pt>
                <c:pt idx="8">
                  <c:v>Session/Logout</c:v>
                </c:pt>
              </c:strCache>
            </c:strRef>
          </c:cat>
          <c:val>
            <c:numRef>
              <c:f>'Execution Summary'!$D$18:$D$26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0-41A5-AA3B-67FE50FC8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010979"/>
        <c:axId val="57769057"/>
      </c:barChart>
      <c:catAx>
        <c:axId val="560109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Module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769057"/>
        <c:crosses val="autoZero"/>
        <c:auto val="1"/>
        <c:lblAlgn val="ctr"/>
        <c:lblOffset val="100"/>
        <c:noMultiLvlLbl val="0"/>
      </c:catAx>
      <c:valAx>
        <c:axId val="577690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Test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0109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Overall Execution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96F-49CB-98F3-3D65F12EE6B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96F-49CB-98F3-3D65F12EE6B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96F-49CB-98F3-3D65F12EE6B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6F-49CB-98F3-3D65F12EE6B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6F-49CB-98F3-3D65F12EE6B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6F-49CB-98F3-3D65F12EE6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'Execution Summary'!$A$10:$A$12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Blocked / Not Executed</c:v>
                </c:pt>
              </c:strCache>
            </c:strRef>
          </c:cat>
          <c:val>
            <c:numRef>
              <c:f>'Execution Summary'!$B$10:$B$12</c:f>
              <c:numCache>
                <c:formatCode>General</c:formatCode>
                <c:ptCount val="3"/>
                <c:pt idx="0">
                  <c:v>40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6F-49CB-98F3-3D65F12EE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16</xdr:row>
      <xdr:rowOff>0</xdr:rowOff>
    </xdr:from>
    <xdr:to>
      <xdr:col>16</xdr:col>
      <xdr:colOff>473040</xdr:colOff>
      <xdr:row>32</xdr:row>
      <xdr:rowOff>105840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39240</xdr:colOff>
      <xdr:row>49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showGridLines="0" tabSelected="1" zoomScaleNormal="100" workbookViewId="0">
      <pane ySplit="3" topLeftCell="A32" activePane="bottomLeft" state="frozen"/>
      <selection pane="bottomLeft" activeCell="D35" sqref="D35"/>
    </sheetView>
  </sheetViews>
  <sheetFormatPr defaultColWidth="8.7109375" defaultRowHeight="15"/>
  <cols>
    <col min="1" max="1" width="16" customWidth="1"/>
    <col min="2" max="2" width="20" customWidth="1"/>
    <col min="3" max="5" width="10" customWidth="1"/>
    <col min="6" max="6" width="14" customWidth="1"/>
  </cols>
  <sheetData>
    <row r="1" spans="1:6" ht="30" customHeight="1">
      <c r="A1" s="10" t="s">
        <v>0</v>
      </c>
      <c r="B1" s="10"/>
      <c r="C1" s="10"/>
      <c r="D1" s="10"/>
      <c r="E1" s="10"/>
      <c r="F1" s="10"/>
    </row>
    <row r="2" spans="1:6" ht="6" customHeight="1"/>
    <row r="3" spans="1:6" ht="27.7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 t="s">
        <v>7</v>
      </c>
      <c r="B4" s="2" t="s">
        <v>8</v>
      </c>
      <c r="C4" s="2" t="s">
        <v>9</v>
      </c>
      <c r="D4" s="3" t="s">
        <v>10</v>
      </c>
      <c r="E4" s="2"/>
      <c r="F4" s="9">
        <v>46280</v>
      </c>
    </row>
    <row r="5" spans="1:6">
      <c r="A5" s="2" t="s">
        <v>11</v>
      </c>
      <c r="B5" s="2" t="s">
        <v>8</v>
      </c>
      <c r="C5" s="2" t="s">
        <v>9</v>
      </c>
      <c r="D5" s="3" t="s">
        <v>10</v>
      </c>
      <c r="E5" s="2"/>
      <c r="F5" s="9">
        <v>46280</v>
      </c>
    </row>
    <row r="6" spans="1:6">
      <c r="A6" s="2" t="s">
        <v>12</v>
      </c>
      <c r="B6" s="2" t="s">
        <v>8</v>
      </c>
      <c r="C6" s="2" t="s">
        <v>9</v>
      </c>
      <c r="D6" s="3" t="s">
        <v>10</v>
      </c>
      <c r="E6" s="2"/>
      <c r="F6" s="9">
        <v>46280</v>
      </c>
    </row>
    <row r="7" spans="1:6">
      <c r="A7" s="2" t="s">
        <v>13</v>
      </c>
      <c r="B7" s="2" t="s">
        <v>8</v>
      </c>
      <c r="C7" s="2" t="s">
        <v>9</v>
      </c>
      <c r="D7" s="3" t="s">
        <v>10</v>
      </c>
      <c r="E7" s="2"/>
      <c r="F7" s="9">
        <v>46280</v>
      </c>
    </row>
    <row r="8" spans="1:6">
      <c r="A8" s="2" t="s">
        <v>14</v>
      </c>
      <c r="B8" s="2" t="s">
        <v>8</v>
      </c>
      <c r="C8" s="2" t="s">
        <v>9</v>
      </c>
      <c r="D8" s="3" t="s">
        <v>10</v>
      </c>
      <c r="E8" s="2"/>
      <c r="F8" s="9">
        <v>46280</v>
      </c>
    </row>
    <row r="9" spans="1:6">
      <c r="A9" s="2" t="s">
        <v>15</v>
      </c>
      <c r="B9" s="2" t="s">
        <v>8</v>
      </c>
      <c r="C9" s="2" t="s">
        <v>16</v>
      </c>
      <c r="D9" s="3" t="s">
        <v>10</v>
      </c>
      <c r="E9" s="2"/>
      <c r="F9" s="9">
        <v>46280</v>
      </c>
    </row>
    <row r="10" spans="1:6">
      <c r="A10" s="2" t="s">
        <v>17</v>
      </c>
      <c r="B10" s="2" t="s">
        <v>18</v>
      </c>
      <c r="C10" s="2" t="s">
        <v>9</v>
      </c>
      <c r="D10" s="3" t="s">
        <v>10</v>
      </c>
      <c r="E10" s="2"/>
      <c r="F10" s="9">
        <v>46280</v>
      </c>
    </row>
    <row r="11" spans="1:6">
      <c r="A11" s="2" t="s">
        <v>19</v>
      </c>
      <c r="B11" s="2" t="s">
        <v>18</v>
      </c>
      <c r="C11" s="2" t="s">
        <v>20</v>
      </c>
      <c r="D11" s="3" t="s">
        <v>10</v>
      </c>
      <c r="E11" s="2"/>
      <c r="F11" s="9">
        <v>46280</v>
      </c>
    </row>
    <row r="12" spans="1:6">
      <c r="A12" s="2" t="s">
        <v>21</v>
      </c>
      <c r="B12" s="2" t="s">
        <v>18</v>
      </c>
      <c r="C12" s="2" t="s">
        <v>9</v>
      </c>
      <c r="D12" s="3" t="s">
        <v>10</v>
      </c>
      <c r="E12" s="2"/>
      <c r="F12" s="9">
        <v>46280</v>
      </c>
    </row>
    <row r="13" spans="1:6">
      <c r="A13" s="2" t="s">
        <v>22</v>
      </c>
      <c r="B13" s="2" t="s">
        <v>18</v>
      </c>
      <c r="C13" s="2" t="s">
        <v>9</v>
      </c>
      <c r="D13" s="3" t="s">
        <v>10</v>
      </c>
      <c r="E13" s="2"/>
      <c r="F13" s="9">
        <v>46280</v>
      </c>
    </row>
    <row r="14" spans="1:6">
      <c r="A14" s="2" t="s">
        <v>23</v>
      </c>
      <c r="B14" s="2" t="s">
        <v>18</v>
      </c>
      <c r="C14" s="2" t="s">
        <v>20</v>
      </c>
      <c r="D14" s="3" t="s">
        <v>10</v>
      </c>
      <c r="E14" s="2"/>
      <c r="F14" s="9">
        <v>46280</v>
      </c>
    </row>
    <row r="15" spans="1:6">
      <c r="A15" s="2" t="s">
        <v>24</v>
      </c>
      <c r="B15" s="2" t="s">
        <v>18</v>
      </c>
      <c r="C15" s="2" t="s">
        <v>20</v>
      </c>
      <c r="D15" s="4" t="s">
        <v>25</v>
      </c>
      <c r="E15" s="2" t="s">
        <v>26</v>
      </c>
      <c r="F15" s="9">
        <v>46280</v>
      </c>
    </row>
    <row r="16" spans="1:6">
      <c r="A16" s="2" t="s">
        <v>27</v>
      </c>
      <c r="B16" s="2" t="s">
        <v>28</v>
      </c>
      <c r="C16" s="2" t="s">
        <v>20</v>
      </c>
      <c r="D16" s="3" t="s">
        <v>10</v>
      </c>
      <c r="E16" s="2"/>
      <c r="F16" s="9">
        <v>46280</v>
      </c>
    </row>
    <row r="17" spans="1:6">
      <c r="A17" s="2" t="s">
        <v>29</v>
      </c>
      <c r="B17" s="2" t="s">
        <v>28</v>
      </c>
      <c r="C17" s="2" t="s">
        <v>20</v>
      </c>
      <c r="D17" s="3" t="s">
        <v>10</v>
      </c>
      <c r="E17" s="2"/>
      <c r="F17" s="9">
        <v>46280</v>
      </c>
    </row>
    <row r="18" spans="1:6">
      <c r="A18" s="2" t="s">
        <v>30</v>
      </c>
      <c r="B18" s="2" t="s">
        <v>28</v>
      </c>
      <c r="C18" s="2" t="s">
        <v>16</v>
      </c>
      <c r="D18" s="3" t="s">
        <v>10</v>
      </c>
      <c r="E18" s="2"/>
      <c r="F18" s="9">
        <v>46280</v>
      </c>
    </row>
    <row r="19" spans="1:6">
      <c r="A19" s="2" t="s">
        <v>31</v>
      </c>
      <c r="B19" s="2" t="s">
        <v>28</v>
      </c>
      <c r="C19" s="2" t="s">
        <v>20</v>
      </c>
      <c r="D19" s="3" t="s">
        <v>10</v>
      </c>
      <c r="E19" s="2"/>
      <c r="F19" s="9">
        <v>46280</v>
      </c>
    </row>
    <row r="20" spans="1:6">
      <c r="A20" s="2" t="s">
        <v>32</v>
      </c>
      <c r="B20" s="2" t="s">
        <v>33</v>
      </c>
      <c r="C20" s="2" t="s">
        <v>20</v>
      </c>
      <c r="D20" s="3" t="s">
        <v>10</v>
      </c>
      <c r="E20" s="2"/>
      <c r="F20" s="9">
        <v>46280</v>
      </c>
    </row>
    <row r="21" spans="1:6">
      <c r="A21" s="2" t="s">
        <v>34</v>
      </c>
      <c r="B21" s="2" t="s">
        <v>33</v>
      </c>
      <c r="C21" s="2" t="s">
        <v>20</v>
      </c>
      <c r="D21" s="3" t="s">
        <v>10</v>
      </c>
      <c r="E21" s="2"/>
      <c r="F21" s="9">
        <v>46280</v>
      </c>
    </row>
    <row r="22" spans="1:6">
      <c r="A22" s="2" t="s">
        <v>35</v>
      </c>
      <c r="B22" s="2" t="s">
        <v>33</v>
      </c>
      <c r="C22" s="2" t="s">
        <v>20</v>
      </c>
      <c r="D22" s="3" t="s">
        <v>10</v>
      </c>
      <c r="E22" s="2"/>
      <c r="F22" s="9">
        <v>46280</v>
      </c>
    </row>
    <row r="23" spans="1:6">
      <c r="A23" s="2" t="s">
        <v>36</v>
      </c>
      <c r="B23" s="2" t="s">
        <v>33</v>
      </c>
      <c r="C23" s="2" t="s">
        <v>20</v>
      </c>
      <c r="D23" s="3" t="s">
        <v>10</v>
      </c>
      <c r="E23" s="2"/>
      <c r="F23" s="9">
        <v>46280</v>
      </c>
    </row>
    <row r="24" spans="1:6">
      <c r="A24" s="2" t="s">
        <v>37</v>
      </c>
      <c r="B24" s="2" t="s">
        <v>33</v>
      </c>
      <c r="C24" s="2" t="s">
        <v>16</v>
      </c>
      <c r="D24" s="3" t="s">
        <v>10</v>
      </c>
      <c r="E24" s="2"/>
      <c r="F24" s="9">
        <v>46280</v>
      </c>
    </row>
    <row r="25" spans="1:6">
      <c r="A25" s="2" t="s">
        <v>38</v>
      </c>
      <c r="B25" s="2" t="s">
        <v>39</v>
      </c>
      <c r="C25" s="2" t="s">
        <v>9</v>
      </c>
      <c r="D25" s="3" t="s">
        <v>10</v>
      </c>
      <c r="E25" s="2"/>
      <c r="F25" s="9">
        <v>46280</v>
      </c>
    </row>
    <row r="26" spans="1:6">
      <c r="A26" s="2" t="s">
        <v>40</v>
      </c>
      <c r="B26" s="2" t="s">
        <v>39</v>
      </c>
      <c r="C26" s="2" t="s">
        <v>9</v>
      </c>
      <c r="D26" s="3" t="s">
        <v>10</v>
      </c>
      <c r="E26" s="2"/>
      <c r="F26" s="9">
        <v>46280</v>
      </c>
    </row>
    <row r="27" spans="1:6">
      <c r="A27" s="2" t="s">
        <v>41</v>
      </c>
      <c r="B27" s="2" t="s">
        <v>39</v>
      </c>
      <c r="C27" s="2" t="s">
        <v>9</v>
      </c>
      <c r="D27" s="4" t="s">
        <v>25</v>
      </c>
      <c r="E27" s="2" t="s">
        <v>42</v>
      </c>
      <c r="F27" s="9">
        <v>46280</v>
      </c>
    </row>
    <row r="28" spans="1:6">
      <c r="A28" s="2" t="s">
        <v>43</v>
      </c>
      <c r="B28" s="2" t="s">
        <v>39</v>
      </c>
      <c r="C28" s="2" t="s">
        <v>9</v>
      </c>
      <c r="D28" s="3" t="s">
        <v>10</v>
      </c>
      <c r="E28" s="2"/>
      <c r="F28" s="9">
        <v>46280</v>
      </c>
    </row>
    <row r="29" spans="1:6">
      <c r="A29" s="2" t="s">
        <v>44</v>
      </c>
      <c r="B29" s="2" t="s">
        <v>39</v>
      </c>
      <c r="C29" s="2" t="s">
        <v>16</v>
      </c>
      <c r="D29" s="3" t="s">
        <v>10</v>
      </c>
      <c r="E29" s="2"/>
      <c r="F29" s="9">
        <v>46280</v>
      </c>
    </row>
    <row r="30" spans="1:6">
      <c r="A30" s="2" t="s">
        <v>45</v>
      </c>
      <c r="B30" s="2" t="s">
        <v>39</v>
      </c>
      <c r="C30" s="2" t="s">
        <v>20</v>
      </c>
      <c r="D30" s="3" t="s">
        <v>10</v>
      </c>
      <c r="E30" s="2"/>
      <c r="F30" s="9">
        <v>46280</v>
      </c>
    </row>
    <row r="31" spans="1:6">
      <c r="A31" s="2" t="s">
        <v>46</v>
      </c>
      <c r="B31" s="2" t="s">
        <v>47</v>
      </c>
      <c r="C31" s="2" t="s">
        <v>9</v>
      </c>
      <c r="D31" s="3" t="s">
        <v>10</v>
      </c>
      <c r="E31" s="2"/>
      <c r="F31" s="9">
        <v>46280</v>
      </c>
    </row>
    <row r="32" spans="1:6">
      <c r="A32" s="2" t="s">
        <v>48</v>
      </c>
      <c r="B32" s="2" t="s">
        <v>47</v>
      </c>
      <c r="C32" s="2" t="s">
        <v>9</v>
      </c>
      <c r="D32" s="3" t="s">
        <v>10</v>
      </c>
      <c r="E32" s="2"/>
      <c r="F32" s="9">
        <v>46280</v>
      </c>
    </row>
    <row r="33" spans="1:6">
      <c r="A33" s="2" t="s">
        <v>49</v>
      </c>
      <c r="B33" s="2" t="s">
        <v>47</v>
      </c>
      <c r="C33" s="2" t="s">
        <v>9</v>
      </c>
      <c r="D33" s="3" t="s">
        <v>10</v>
      </c>
      <c r="E33" s="2"/>
      <c r="F33" s="9">
        <v>46280</v>
      </c>
    </row>
    <row r="34" spans="1:6">
      <c r="A34" s="2" t="s">
        <v>50</v>
      </c>
      <c r="B34" s="2" t="s">
        <v>47</v>
      </c>
      <c r="C34" s="2" t="s">
        <v>9</v>
      </c>
      <c r="D34" s="3" t="s">
        <v>10</v>
      </c>
      <c r="E34" s="2"/>
      <c r="F34" s="9">
        <v>46280</v>
      </c>
    </row>
    <row r="35" spans="1:6">
      <c r="A35" s="2" t="s">
        <v>51</v>
      </c>
      <c r="B35" s="2" t="s">
        <v>47</v>
      </c>
      <c r="C35" s="2" t="s">
        <v>16</v>
      </c>
      <c r="D35" s="4" t="s">
        <v>25</v>
      </c>
      <c r="E35" s="2"/>
      <c r="F35" s="9">
        <v>46280</v>
      </c>
    </row>
    <row r="36" spans="1:6">
      <c r="A36" s="2" t="s">
        <v>52</v>
      </c>
      <c r="B36" s="2" t="s">
        <v>47</v>
      </c>
      <c r="C36" s="2" t="s">
        <v>16</v>
      </c>
      <c r="D36" s="3" t="s">
        <v>10</v>
      </c>
      <c r="E36" s="2"/>
      <c r="F36" s="9">
        <v>46280</v>
      </c>
    </row>
    <row r="37" spans="1:6">
      <c r="A37" s="2" t="s">
        <v>53</v>
      </c>
      <c r="B37" s="2" t="s">
        <v>47</v>
      </c>
      <c r="C37" s="2" t="s">
        <v>9</v>
      </c>
      <c r="D37" s="3" t="s">
        <v>10</v>
      </c>
      <c r="E37" s="2"/>
      <c r="F37" s="9">
        <v>46280</v>
      </c>
    </row>
    <row r="38" spans="1:6">
      <c r="A38" s="2" t="s">
        <v>54</v>
      </c>
      <c r="B38" s="2" t="s">
        <v>47</v>
      </c>
      <c r="C38" s="2" t="s">
        <v>16</v>
      </c>
      <c r="D38" s="3" t="s">
        <v>10</v>
      </c>
      <c r="E38" s="2"/>
      <c r="F38" s="9">
        <v>46280</v>
      </c>
    </row>
    <row r="39" spans="1:6">
      <c r="A39" s="2" t="s">
        <v>55</v>
      </c>
      <c r="B39" s="2" t="s">
        <v>56</v>
      </c>
      <c r="C39" s="2" t="s">
        <v>9</v>
      </c>
      <c r="D39" s="3" t="s">
        <v>10</v>
      </c>
      <c r="E39" s="2"/>
      <c r="F39" s="9">
        <v>46280</v>
      </c>
    </row>
    <row r="40" spans="1:6">
      <c r="A40" s="2" t="s">
        <v>57</v>
      </c>
      <c r="B40" s="2" t="s">
        <v>56</v>
      </c>
      <c r="C40" s="2" t="s">
        <v>20</v>
      </c>
      <c r="D40" s="3" t="s">
        <v>10</v>
      </c>
      <c r="E40" s="2"/>
      <c r="F40" s="9">
        <v>46280</v>
      </c>
    </row>
    <row r="41" spans="1:6">
      <c r="A41" s="2" t="s">
        <v>58</v>
      </c>
      <c r="B41" s="2" t="s">
        <v>56</v>
      </c>
      <c r="C41" s="2" t="s">
        <v>9</v>
      </c>
      <c r="D41" s="3" t="s">
        <v>10</v>
      </c>
      <c r="E41" s="2"/>
      <c r="F41" s="9">
        <v>46280</v>
      </c>
    </row>
    <row r="42" spans="1:6">
      <c r="A42" s="2" t="s">
        <v>59</v>
      </c>
      <c r="B42" s="2" t="s">
        <v>60</v>
      </c>
      <c r="C42" s="2" t="s">
        <v>9</v>
      </c>
      <c r="D42" s="3" t="s">
        <v>10</v>
      </c>
      <c r="E42" s="2"/>
      <c r="F42" s="9">
        <v>46280</v>
      </c>
    </row>
    <row r="43" spans="1:6">
      <c r="A43" s="2" t="s">
        <v>61</v>
      </c>
      <c r="B43" s="2" t="s">
        <v>60</v>
      </c>
      <c r="C43" s="2" t="s">
        <v>9</v>
      </c>
      <c r="D43" s="3" t="s">
        <v>10</v>
      </c>
      <c r="E43" s="2"/>
      <c r="F43" s="9">
        <v>46280</v>
      </c>
    </row>
    <row r="44" spans="1:6">
      <c r="A44" s="2" t="s">
        <v>62</v>
      </c>
      <c r="B44" s="2" t="s">
        <v>60</v>
      </c>
      <c r="C44" s="2" t="s">
        <v>20</v>
      </c>
      <c r="D44" s="4" t="s">
        <v>25</v>
      </c>
      <c r="E44" s="2" t="s">
        <v>63</v>
      </c>
      <c r="F44" s="9">
        <v>46280</v>
      </c>
    </row>
    <row r="45" spans="1:6">
      <c r="A45" s="2" t="s">
        <v>64</v>
      </c>
      <c r="B45" s="2" t="s">
        <v>65</v>
      </c>
      <c r="C45" s="2" t="s">
        <v>20</v>
      </c>
      <c r="D45" s="3" t="s">
        <v>10</v>
      </c>
      <c r="E45" s="2"/>
      <c r="F45" s="9">
        <v>46280</v>
      </c>
    </row>
    <row r="46" spans="1:6">
      <c r="A46" s="2" t="s">
        <v>66</v>
      </c>
      <c r="B46" s="2" t="s">
        <v>65</v>
      </c>
      <c r="C46" s="2" t="s">
        <v>20</v>
      </c>
      <c r="D46" s="3" t="s">
        <v>10</v>
      </c>
      <c r="E46" s="2"/>
      <c r="F46" s="9">
        <v>46280</v>
      </c>
    </row>
    <row r="47" spans="1:6">
      <c r="A47" s="2" t="s">
        <v>67</v>
      </c>
      <c r="B47" s="2" t="s">
        <v>65</v>
      </c>
      <c r="C47" s="2" t="s">
        <v>20</v>
      </c>
      <c r="D47" s="3" t="s">
        <v>10</v>
      </c>
      <c r="E47" s="2"/>
      <c r="F47" s="9">
        <v>46280</v>
      </c>
    </row>
    <row r="48" spans="1:6">
      <c r="A48" s="2" t="s">
        <v>68</v>
      </c>
      <c r="B48" s="2" t="s">
        <v>18</v>
      </c>
      <c r="C48" s="2" t="s">
        <v>16</v>
      </c>
      <c r="D48" s="4" t="s">
        <v>25</v>
      </c>
      <c r="E48" s="2" t="s">
        <v>69</v>
      </c>
      <c r="F48" s="9">
        <v>46280</v>
      </c>
    </row>
  </sheetData>
  <autoFilter ref="A3:F48" xr:uid="{00000000-0009-0000-0000-000000000000}"/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2" width="24" customWidth="1"/>
    <col min="3" max="4" width="12" customWidth="1"/>
  </cols>
  <sheetData>
    <row r="1" spans="1:4" ht="30" customHeight="1">
      <c r="A1" s="12" t="s">
        <v>70</v>
      </c>
      <c r="B1" s="12"/>
      <c r="C1" s="12"/>
      <c r="D1" s="12"/>
    </row>
    <row r="3" spans="1:4">
      <c r="A3" s="5" t="s">
        <v>71</v>
      </c>
      <c r="B3" s="13" t="s">
        <v>72</v>
      </c>
      <c r="C3" s="13"/>
      <c r="D3" s="13"/>
    </row>
    <row r="4" spans="1:4">
      <c r="A4" s="5" t="s">
        <v>73</v>
      </c>
      <c r="B4" s="13" t="s">
        <v>74</v>
      </c>
      <c r="C4" s="13"/>
      <c r="D4" s="13"/>
    </row>
    <row r="5" spans="1:4">
      <c r="A5" s="5" t="s">
        <v>75</v>
      </c>
      <c r="B5" s="13" t="s">
        <v>76</v>
      </c>
      <c r="C5" s="13"/>
      <c r="D5" s="13"/>
    </row>
    <row r="6" spans="1:4">
      <c r="A6" s="5" t="s">
        <v>6</v>
      </c>
      <c r="B6" s="13" t="s">
        <v>77</v>
      </c>
      <c r="C6" s="13"/>
      <c r="D6" s="13"/>
    </row>
    <row r="8" spans="1:4" ht="19.5" customHeight="1">
      <c r="A8" s="11" t="s">
        <v>78</v>
      </c>
      <c r="B8" s="11"/>
      <c r="C8" s="11"/>
      <c r="D8" s="11"/>
    </row>
    <row r="9" spans="1:4">
      <c r="A9" s="5" t="s">
        <v>79</v>
      </c>
      <c r="B9" s="6">
        <f>COUNTA('Execution Log'!A4:A48)</f>
        <v>45</v>
      </c>
    </row>
    <row r="10" spans="1:4">
      <c r="A10" s="5" t="s">
        <v>80</v>
      </c>
      <c r="B10" s="6">
        <f>COUNTIF('Execution Log'!D4:D48,"Pass")</f>
        <v>40</v>
      </c>
    </row>
    <row r="11" spans="1:4">
      <c r="A11" s="5" t="s">
        <v>81</v>
      </c>
      <c r="B11" s="6">
        <f>COUNTIF('Execution Log'!D4:D48,"Fail")</f>
        <v>5</v>
      </c>
    </row>
    <row r="12" spans="1:4">
      <c r="A12" s="5" t="s">
        <v>82</v>
      </c>
      <c r="B12" s="6">
        <f>B9-B10-B11</f>
        <v>0</v>
      </c>
    </row>
    <row r="13" spans="1:4">
      <c r="A13" s="5" t="s">
        <v>83</v>
      </c>
      <c r="B13" s="7">
        <f>B10/B9</f>
        <v>0.88888888888888884</v>
      </c>
    </row>
    <row r="14" spans="1:4">
      <c r="A14" s="5" t="s">
        <v>84</v>
      </c>
      <c r="B14" s="6">
        <f>COUNTIF('Execution Log'!E4:E48,"?*")</f>
        <v>4</v>
      </c>
    </row>
    <row r="16" spans="1:4" ht="19.5" customHeight="1">
      <c r="A16" s="11" t="s">
        <v>85</v>
      </c>
      <c r="B16" s="11"/>
      <c r="C16" s="11"/>
      <c r="D16" s="11"/>
    </row>
    <row r="17" spans="1:4" ht="21.75" customHeight="1">
      <c r="A17" s="1" t="s">
        <v>2</v>
      </c>
      <c r="B17" s="1" t="s">
        <v>86</v>
      </c>
      <c r="C17" s="1" t="s">
        <v>80</v>
      </c>
      <c r="D17" s="1" t="s">
        <v>81</v>
      </c>
    </row>
    <row r="18" spans="1:4">
      <c r="A18" s="6" t="s">
        <v>8</v>
      </c>
      <c r="B18" s="8">
        <f>COUNTIF('Execution Log'!B4:B48,A18)</f>
        <v>6</v>
      </c>
      <c r="C18" s="8">
        <f>COUNTIFS('Execution Log'!B4:B48,A18,'Execution Log'!D4:D48,"Pass")</f>
        <v>6</v>
      </c>
      <c r="D18" s="8">
        <f>COUNTIFS('Execution Log'!B4:B48,A18,'Execution Log'!D4:D48,"Fail")</f>
        <v>0</v>
      </c>
    </row>
    <row r="19" spans="1:4">
      <c r="A19" s="6" t="s">
        <v>18</v>
      </c>
      <c r="B19" s="8">
        <f>COUNTIF('Execution Log'!B4:B48,A19)</f>
        <v>7</v>
      </c>
      <c r="C19" s="8">
        <f>COUNTIFS('Execution Log'!B4:B48,A19,'Execution Log'!D4:D48,"Pass")</f>
        <v>5</v>
      </c>
      <c r="D19" s="8">
        <f>COUNTIFS('Execution Log'!B4:B48,A19,'Execution Log'!D4:D48,"Fail")</f>
        <v>2</v>
      </c>
    </row>
    <row r="20" spans="1:4">
      <c r="A20" s="6" t="s">
        <v>28</v>
      </c>
      <c r="B20" s="8">
        <f>COUNTIF('Execution Log'!B4:B48,A20)</f>
        <v>4</v>
      </c>
      <c r="C20" s="8">
        <f>COUNTIFS('Execution Log'!B4:B48,A20,'Execution Log'!D4:D48,"Pass")</f>
        <v>4</v>
      </c>
      <c r="D20" s="8">
        <f>COUNTIFS('Execution Log'!B4:B48,A20,'Execution Log'!D4:D48,"Fail")</f>
        <v>0</v>
      </c>
    </row>
    <row r="21" spans="1:4">
      <c r="A21" s="6" t="s">
        <v>33</v>
      </c>
      <c r="B21" s="8">
        <f>COUNTIF('Execution Log'!B4:B48,A21)</f>
        <v>5</v>
      </c>
      <c r="C21" s="8">
        <f>COUNTIFS('Execution Log'!B4:B48,A21,'Execution Log'!D4:D48,"Pass")</f>
        <v>5</v>
      </c>
      <c r="D21" s="8">
        <f>COUNTIFS('Execution Log'!B4:B48,A21,'Execution Log'!D4:D48,"Fail")</f>
        <v>0</v>
      </c>
    </row>
    <row r="22" spans="1:4">
      <c r="A22" s="6" t="s">
        <v>39</v>
      </c>
      <c r="B22" s="8">
        <f>COUNTIF('Execution Log'!B4:B48,A22)</f>
        <v>6</v>
      </c>
      <c r="C22" s="8">
        <f>COUNTIFS('Execution Log'!B4:B48,A22,'Execution Log'!D4:D48,"Pass")</f>
        <v>5</v>
      </c>
      <c r="D22" s="8">
        <f>COUNTIFS('Execution Log'!B4:B48,A22,'Execution Log'!D4:D48,"Fail")</f>
        <v>1</v>
      </c>
    </row>
    <row r="23" spans="1:4">
      <c r="A23" s="6" t="s">
        <v>47</v>
      </c>
      <c r="B23" s="8">
        <f>COUNTIF('Execution Log'!B4:B48,A23)</f>
        <v>8</v>
      </c>
      <c r="C23" s="8">
        <f>COUNTIFS('Execution Log'!B4:B48,A23,'Execution Log'!D4:D48,"Pass")</f>
        <v>7</v>
      </c>
      <c r="D23" s="8">
        <f>COUNTIFS('Execution Log'!B4:B48,A23,'Execution Log'!D4:D48,"Fail")</f>
        <v>1</v>
      </c>
    </row>
    <row r="24" spans="1:4">
      <c r="A24" s="6" t="s">
        <v>56</v>
      </c>
      <c r="B24" s="8">
        <f>COUNTIF('Execution Log'!B4:B48,A24)</f>
        <v>3</v>
      </c>
      <c r="C24" s="8">
        <f>COUNTIFS('Execution Log'!B4:B48,A24,'Execution Log'!D4:D48,"Pass")</f>
        <v>3</v>
      </c>
      <c r="D24" s="8">
        <f>COUNTIFS('Execution Log'!B4:B48,A24,'Execution Log'!D4:D48,"Fail")</f>
        <v>0</v>
      </c>
    </row>
    <row r="25" spans="1:4">
      <c r="A25" s="6" t="s">
        <v>60</v>
      </c>
      <c r="B25" s="8">
        <f>COUNTIF('Execution Log'!B4:B48,A25)</f>
        <v>3</v>
      </c>
      <c r="C25" s="8">
        <f>COUNTIFS('Execution Log'!B4:B48,A25,'Execution Log'!D4:D48,"Pass")</f>
        <v>2</v>
      </c>
      <c r="D25" s="8">
        <f>COUNTIFS('Execution Log'!B4:B48,A25,'Execution Log'!D4:D48,"Fail")</f>
        <v>1</v>
      </c>
    </row>
    <row r="26" spans="1:4">
      <c r="A26" s="6" t="s">
        <v>65</v>
      </c>
      <c r="B26" s="8">
        <f>COUNTIF('Execution Log'!B4:B48,A26)</f>
        <v>3</v>
      </c>
      <c r="C26" s="8">
        <f>COUNTIFS('Execution Log'!B4:B48,A26,'Execution Log'!D4:D48,"Pass")</f>
        <v>3</v>
      </c>
      <c r="D26" s="8">
        <f>COUNTIFS('Execution Log'!B4:B48,A26,'Execution Log'!D4:D48,"Fail")</f>
        <v>0</v>
      </c>
    </row>
  </sheetData>
  <mergeCells count="7">
    <mergeCell ref="A8:D8"/>
    <mergeCell ref="A16:D16"/>
    <mergeCell ref="A1:D1"/>
    <mergeCell ref="B3:D3"/>
    <mergeCell ref="B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2026-09-10T19:09:51Z</dcterms:created>
  <dcterms:modified xsi:type="dcterms:W3CDTF">2026-09-15T20:12:10Z</dcterms:modified>
  <cp:category/>
  <cp:contentStatus/>
</cp:coreProperties>
</file>